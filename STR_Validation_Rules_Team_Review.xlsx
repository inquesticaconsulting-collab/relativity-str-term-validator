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Rule review" sheetId="2" state="visible" r:id="rId4"/>
    <sheet name="Open topics" sheetId="3" state="visible" r:id="rId5"/>
  </sheets>
  <definedNames>
    <definedName function="false" hidden="true" localSheetId="1" name="_xlnm._FilterDatabase" vbProcedure="false">'Rule review'!$A$2:$J$46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<sst xmlns="http://schemas.openxmlformats.org/spreadsheetml/2006/main" count="372" uniqueCount="260">
  <si>
    <t xml:space="preserve">STR search-term validation rules — team review</t>
  </si>
  <si>
    <t xml:space="preserve">Purpose: walk through the validator's rule set together, agree how we handle each case as a team, and capture owners for the follow-ups. One row per rule on the 'Rule review' sheet; broader topics that cut across rules are on 'Open topics'.</t>
  </si>
  <si>
    <t xml:space="preserve">How to work the 'Rule review' sheet in the meeting:</t>
  </si>
  <si>
    <t xml:space="preserve">•  Columns A–F describe the rule and are read-only: the use case, severity, what it detects, how the script currently handles it, an example, and a suggested discussion point.</t>
  </si>
  <si>
    <t xml:space="preserve">•  Fill in the YELLOW columns (G–J) as you go: Team decision (dropdown), Owner, Notes, and Status. Row 3 is a filled-in example — grey, not a real rule.</t>
  </si>
  <si>
    <t xml:space="preserve">Team decision options:</t>
  </si>
  <si>
    <t xml:space="preserve">•  Adopt as-is — the script's current handling becomes our standard.
•  Adopt with changes — agree the change in Notes; owner files a script change request.
•  Needs follow-up — can't decide today; owner takes the action in Notes.
•  Reject — we won't enforce this rule; note why.</t>
  </si>
  <si>
    <t xml:space="preserve">Status counts (update as you fill in the sheet):</t>
  </si>
  <si>
    <t xml:space="preserve">Rules total</t>
  </si>
  <si>
    <t xml:space="preserve">Agreed</t>
  </si>
  <si>
    <t xml:space="preserve">Open</t>
  </si>
  <si>
    <t xml:space="preserve">Parked</t>
  </si>
  <si>
    <t xml:space="preserve">Severity colors: red = ERROR (must be fixed before loading an STR), amber = WARNING (needs a recorded decision), blue = INFO (housekeeping). The validator auto-repairs terms to a stable state and re-validates its own output (report column 'Revised Term Check': CLEAN / ADVISORY / NEEDS REVIEW). Source: str_term_validator.py and the Relativity dtSearch / Search Terms Report documentation.</t>
  </si>
  <si>
    <t xml:space="preserve">Rule-by-rule review — fill the yellow columns in the meeting</t>
  </si>
  <si>
    <t xml:space="preserve">Use cases</t>
  </si>
  <si>
    <t xml:space="preserve">Sev.</t>
  </si>
  <si>
    <t xml:space="preserve">What it detects</t>
  </si>
  <si>
    <t xml:space="preserve">Handling (current script behavior)</t>
  </si>
  <si>
    <t xml:space="preserve">Example (original → revised)</t>
  </si>
  <si>
    <t xml:space="preserve">Discussion point</t>
  </si>
  <si>
    <t xml:space="preserve">Team decision</t>
  </si>
  <si>
    <t xml:space="preserve">Owner</t>
  </si>
  <si>
    <t xml:space="preserve">Notes / agreed change</t>
  </si>
  <si>
    <t xml:space="preserve">Status</t>
  </si>
  <si>
    <t xml:space="preserve">(EXAMPLE) UNBALANCED_QUOTES</t>
  </si>
  <si>
    <t xml:space="preserve">ERROR</t>
  </si>
  <si>
    <t xml:space="preserve">Odd number of double quotes.</t>
  </si>
  <si>
    <t xml:space="preserve">Auto-balances the quotes.</t>
  </si>
  <si>
    <t xml:space="preserve">"unclosed  →  "unclosed"</t>
  </si>
  <si>
    <t xml:space="preserve">Trust auto-balance or confirm with requestor?</t>
  </si>
  <si>
    <t xml:space="preserve">Adopt with changes</t>
  </si>
  <si>
    <t xml:space="preserve">A. Analyst</t>
  </si>
  <si>
    <t xml:space="preserve">Auto-fix OK, but memo must always show before/after.</t>
  </si>
  <si>
    <t xml:space="preserve">OVER_450_CHARS</t>
  </si>
  <si>
    <t xml:space="preserve">Term exceeds the STR 450-character limit.</t>
  </si>
  <si>
    <t xml:space="preserve">Relativity rejects it. Not auto-fixable (NEEDS REVIEW): split into several lines — each line is its own query and reports separately.</t>
  </si>
  <si>
    <t xml:space="preserve">—</t>
  </si>
  <si>
    <t xml:space="preserve">Any matters where we expect very long negotiated strings? Agree who does the splitting — analyst or requestor.</t>
  </si>
  <si>
    <t xml:space="preserve">UNBALANCED_QUOTES</t>
  </si>
  <si>
    <t xml:space="preserve">Odd number of double quotes; phrase never closed.</t>
  </si>
  <si>
    <t xml:space="preserve">Query is invalid/unpredictable. Auto-balanced — verify the revision.</t>
  </si>
  <si>
    <t xml:space="preserve">"unclosed phrase  →  "unclosed phrase"</t>
  </si>
  <si>
    <t xml:space="preserve">OK to trust the auto-balance, or always send back to requestor to confirm the intended phrase?</t>
  </si>
  <si>
    <t xml:space="preserve">UNBALANCED_PARENS</t>
  </si>
  <si>
    <t xml:space="preserve">Parentheses do not balance.</t>
  </si>
  <si>
    <t xml:space="preserve">Grouping is ambiguous or invalid. Auto-balanced — verify the revision.</t>
  </si>
  <si>
    <t xml:space="preserve">(missing close  →  (missing close)</t>
  </si>
  <si>
    <t xml:space="preserve">Same question as quotes — accept auto-repair or confirm with requestor?</t>
  </si>
  <si>
    <t xml:space="preserve">EMPTY_PARENS</t>
  </si>
  <si>
    <t xml:space="preserve">Empty group ().</t>
  </si>
  <si>
    <t xml:space="preserve">Nothing to search; removed automatically.</t>
  </si>
  <si>
    <t xml:space="preserve">term ()  →  term</t>
  </si>
  <si>
    <t xml:space="preserve">Likely uncontroversial — adopt as-is?</t>
  </si>
  <si>
    <t xml:space="preserve">COMMA_SEPARATED_LIST</t>
  </si>
  <si>
    <t xml:space="preserve">Several terms pasted on one line, separated by commas/semicolons (outside quotes).</t>
  </si>
  <si>
    <t xml:space="preserve">dtSearch treats commas as spaces — the line runs as ONE exact phrase and hits almost nothing. Rewritten with OR; splitting to separate lines is better for per-term counts.</t>
  </si>
  <si>
    <t xml:space="preserve">apple, pear  →  apple OR pear</t>
  </si>
  <si>
    <t xml:space="preserve">Default fix: split to separate lines (per-term counts) or join with OR (one count)? Pick a house rule.</t>
  </si>
  <si>
    <t xml:space="preserve">STRAY_SEPARATOR</t>
  </si>
  <si>
    <t xml:space="preserve">INFO</t>
  </si>
  <si>
    <t xml:space="preserve">A leading/trailing comma or semicolon.</t>
  </si>
  <si>
    <t xml:space="preserve">Carries no meaning in dtSearch; removed.</t>
  </si>
  <si>
    <t xml:space="preserve">apple,  →  apple</t>
  </si>
  <si>
    <t xml:space="preserve">Adopt as-is?</t>
  </si>
  <si>
    <t xml:space="preserve">LEADING/TRAILING/DOUBLE_OPERATOR</t>
  </si>
  <si>
    <t xml:space="preserve">Operator with a missing operand at start/end, or two binary operators in a row.</t>
  </si>
  <si>
    <t xml:space="preserve">Invalid query. Auto-repaired by dropping the dangling operator; in 'AND w/10' the proximity operator is kept.</t>
  </si>
  <si>
    <t xml:space="preserve">contract AND AND breach  →  contract AND breach</t>
  </si>
  <si>
    <t xml:space="preserve">A dangling operator can mean a term was lost in copy/paste. Always ask requestor, or only when it looks suspicious?</t>
  </si>
  <si>
    <t xml:space="preserve">OPERATOR_AFTER/BEFORE_PAREN</t>
  </si>
  <si>
    <t xml:space="preserve">Binary operator immediately inside a group boundary.</t>
  </si>
  <si>
    <t xml:space="preserve">A group cannot begin or end with an operator; auto-repaired.</t>
  </si>
  <si>
    <t xml:space="preserve">( AND x)  →  (x)</t>
  </si>
  <si>
    <t xml:space="preserve">NOT_BEFORE_OPERATOR</t>
  </si>
  <si>
    <t xml:space="preserve">NOT directly followed by AND/OR ('NOT OR').</t>
  </si>
  <si>
    <t xml:space="preserve">Invalid. The NOT is dropped and the operator kept — but this pattern often means AND NOT (exclusion) was intended: the two readings are opposites.</t>
  </si>
  <si>
    <t xml:space="preserve">x NOT OR y  →  x OR y (confirm AND NOT wasn't meant)</t>
  </si>
  <si>
    <t xml:space="preserve">Always route this one back to the requestor?</t>
  </si>
  <si>
    <t xml:space="preserve">PROX_SPACING</t>
  </si>
  <si>
    <t xml:space="preserve">Space inside a proximity operator.</t>
  </si>
  <si>
    <t xml:space="preserve">dtSearch only recognizes w/N or pre/N with no spaces; otherwise 'w' is searched literally. Auto-corrected.</t>
  </si>
  <si>
    <t xml:space="preserve">invoice w/ 5 payment  →  invoice W/5 payment</t>
  </si>
  <si>
    <t xml:space="preserve">PROX_TRAILING_SLASH</t>
  </si>
  <si>
    <t xml:space="preserve">Proximity with a trailing slash, e.g. w/7/.</t>
  </si>
  <si>
    <t xml:space="preserve">Unrecognizable to dtSearch (the terms would run as a phrase). Auto-corrected to w/7.</t>
  </si>
  <si>
    <t xml:space="preserve">a w/7/ b  →  a W/7 b</t>
  </si>
  <si>
    <t xml:space="preserve">PROX_DISTANCE_ASSUMED (was PROX_MALFORMED)</t>
  </si>
  <si>
    <t xml:space="preserve">WARNING</t>
  </si>
  <si>
    <t xml:space="preserve">w/ or pre/ with no number.</t>
  </si>
  <si>
    <t xml:space="preserve">A default of w/5 is inserted so the term runs, labeled ASSUMPTION APPLIED for confirmation.</t>
  </si>
  <si>
    <t xml:space="preserve">invoice w/ payment  →  invoice W/5 payment (assumed)</t>
  </si>
  <si>
    <t xml:space="preserve">Is w/5 the right house default? Confirm or change the assumed distance.</t>
  </si>
  <si>
    <t xml:space="preserve">PROX_ZERO</t>
  </si>
  <si>
    <t xml:space="preserve">Distance of zero (w/0).</t>
  </si>
  <si>
    <t xml:space="preserve">Auto-replaced with w/1 (within one word, either order), labeled ASSUMPTION APPLIED. A quoted phrase is the ordered alternative.</t>
  </si>
  <si>
    <t xml:space="preserve">apple w/0 pear  →  apple W/1 pear (assumed)</t>
  </si>
  <si>
    <t xml:space="preserve">Accept w/1 as the default, or prefer converting to a quoted phrase?</t>
  </si>
  <si>
    <t xml:space="preserve">LEADING_WILDCARD</t>
  </si>
  <si>
    <t xml:space="preserve">Wildcard at the start of a word.</t>
  </si>
  <si>
    <t xml:space="preserve">Prohibited in STRs and a documented performance hazard. Removed; use trailing wildcard, stemming (~), or explicit OR variants.</t>
  </si>
  <si>
    <t xml:space="preserve">*fraud*  →  fraud*</t>
  </si>
  <si>
    <t xml:space="preserve">Meaning-changing. Standard substitute: stemming, or enumerate variants with OR? Who drafts the variants?</t>
  </si>
  <si>
    <t xml:space="preserve">FUZZY_NOT_SUPPORTED</t>
  </si>
  <si>
    <t xml:space="preserve">Fuzzy operator %.</t>
  </si>
  <si>
    <t xml:space="preserve">Not supported in STRs. Removed; pre-expand via the dtSearch Dictionary and join variants with OR.</t>
  </si>
  <si>
    <t xml:space="preserve">app%le  →  apple (plus Dictionary variants)</t>
  </si>
  <si>
    <t xml:space="preserve">Who runs the Dictionary expansion — analyst or admin? Add it to the checklist?</t>
  </si>
  <si>
    <t xml:space="preserve">STEM_LEADING</t>
  </si>
  <si>
    <t xml:space="preserve">~ at the start of a word.</t>
  </si>
  <si>
    <t xml:space="preserve">Stemming goes at the END of the root (English only). Moved there automatically.</t>
  </si>
  <si>
    <t xml:space="preserve">~apply  →  apply~</t>
  </si>
  <si>
    <t xml:space="preserve">STRAY_TILDE</t>
  </si>
  <si>
    <t xml:space="preserve">~~ or ~~~ attached to a word or quoted phrase (not a numeric range).</t>
  </si>
  <si>
    <t xml:space="preserve">Invalid decoration — removed. ~~ is only valid between integers (12~~24); a single ~ only as stemming on a bare word.</t>
  </si>
  <si>
    <t xml:space="preserve">"confidential"~~  →  "confidential"</t>
  </si>
  <si>
    <t xml:space="preserve">PHONIC_MISPLACED</t>
  </si>
  <si>
    <t xml:space="preserve"># inside or after a word.</t>
  </si>
  <si>
    <t xml:space="preserve">Removed as a likely typo (labeled ASSUMPTION APPLIED); # is only valid immediately before a word.</t>
  </si>
  <si>
    <t xml:space="preserve">proj#ect  →  project (assumed typo)</t>
  </si>
  <si>
    <t xml:space="preserve">Agree: remove-as-typo is the default; ask the requestor only when phonic seems plausible?</t>
  </si>
  <si>
    <t xml:space="preserve">NUMERIC_RANGE_MALFORMED</t>
  </si>
  <si>
    <t xml:space="preserve">Invalid N~~M numeric range.</t>
  </si>
  <si>
    <t xml:space="preserve">Both bounds must be integers. The intended range can't be guessed, so this stays NEEDS REVIEW.</t>
  </si>
  <si>
    <t xml:space="preserve">12~~abc  →  (human fixes, e.g. 12~~24)</t>
  </si>
  <si>
    <t xml:space="preserve">WILDCARD_ONLY</t>
  </si>
  <si>
    <t xml:space="preserve">Term is only wildcards.</t>
  </si>
  <si>
    <t xml:space="preserve">Matches every word in the index (including xfirstword/xlastword) — returns all documents.</t>
  </si>
  <si>
    <t xml:space="preserve">*  →  (replace with a real term)</t>
  </si>
  <si>
    <t xml:space="preserve">Adopt as-is (strike and query requestor)?</t>
  </si>
  <si>
    <t xml:space="preserve">NOISE_WORD_TERM</t>
  </si>
  <si>
    <t xml:space="preserve">Standalone term is a dtSearch noise word.</t>
  </si>
  <si>
    <t xml:space="preserve">Returns zero hits on a default index. NEEDS REVIEW: replace, or have the admin remove it from the noise list and rebuild.</t>
  </si>
  <si>
    <t xml:space="preserve">the  →  (strike or replace)</t>
  </si>
  <si>
    <t xml:space="preserve">Confirm our indexes use the default noise list. When would we ever rebuild instead of striking?</t>
  </si>
  <si>
    <t xml:space="preserve">FIELD_SYNTAX_UNSUPPORTED</t>
  </si>
  <si>
    <t xml:space="preserve">Metadata written as field:value (custodian:, subject:, date:, ext:, folder:, project:).</t>
  </si>
  <si>
    <t xml:space="preserve">Not dtSearch syntax — an STR term searches content only. Extracted to the 'Extracted Conditions' sheet; they belong in the searchable-set saved search. Values are validated (impossible dates, misspelled extensions and field names).</t>
  </si>
  <si>
    <t xml:space="preserve">custodian:Smith AND breach  →  breach (condition listed for the saved search)</t>
  </si>
  <si>
    <t xml:space="preserve">Agree the house rule: metadata goes in the saved search. Who applies the extracted conditions? Re-add subject: phrases as content phrases?</t>
  </si>
  <si>
    <t xml:space="preserve">UNSUPPORTED_FUNCTION</t>
  </si>
  <si>
    <t xml:space="preserve">Function-style syntax dtSearch doesn't have, e.g. stemming().</t>
  </si>
  <si>
    <t xml:space="preserve">Only date(), mail(), creditcard() exist. Removed; for stemming, use word~.</t>
  </si>
  <si>
    <t xml:space="preserve">stemming()  →  (removed)</t>
  </si>
  <si>
    <t xml:space="preserve">MIXED_AND_OR</t>
  </si>
  <si>
    <t xml:space="preserve">AND and OR mixed with no parentheses.</t>
  </si>
  <si>
    <t xml:space="preserve">dtSearch applies OR before AND. The revision adds parentheses showing how the query actually runs — confirm intent.</t>
  </si>
  <si>
    <t xml:space="preserve">a AND b OR c  →  a AND (b OR c)</t>
  </si>
  <si>
    <t xml:space="preserve">Always send the explicit-parentheses version back to the requestor for confirmation, or only on request?</t>
  </si>
  <si>
    <t xml:space="preserve">AND_INSIDE_PROX_GROUP</t>
  </si>
  <si>
    <t xml:space="preserve">Group joined by w/N or pre/N contains AND.</t>
  </si>
  <si>
    <t xml:space="preserve">Documented ambiguous pattern with unpredictable results. Use OR inside proximity-connected groups, or restructure.</t>
  </si>
  <si>
    <t xml:space="preserve">(a AND b) w/10 (c AND d)  →  (a w/10 c) AND (b w/10 d)</t>
  </si>
  <si>
    <t xml:space="preserve">The restructure changes meaning — treat as meaning-changing (needs requestor approval)?</t>
  </si>
  <si>
    <t xml:space="preserve">NESTED_PROX / MANY_PROX_OPS</t>
  </si>
  <si>
    <t xml:space="preserve">Chained/nested or numerous proximity operators.</t>
  </si>
  <si>
    <t xml:space="preserve">Discouraged for performance; chained proximity can evaluate ambiguously. Split across lines.</t>
  </si>
  <si>
    <t xml:space="preserve">a w/3 b w/3 c  →  (a w/3 b) AND (b w/3 c)</t>
  </si>
  <si>
    <t xml:space="preserve">Current threshold: warn at 3+ proximity operators. Right level?</t>
  </si>
  <si>
    <t xml:space="preserve">PROX_TOO_WIDE</t>
  </si>
  <si>
    <t xml:space="preserve">Very wide proximity window (above ~25 words).</t>
  </si>
  <si>
    <t xml:space="preserve">Behaves like AND across paragraphs; inflates hits. Confirm width.</t>
  </si>
  <si>
    <t xml:space="preserve">a w/50 b  →  confirm or narrow</t>
  </si>
  <si>
    <t xml:space="preserve">Threshold currently 25 words — agree the number as a team standard.</t>
  </si>
  <si>
    <t xml:space="preserve">NOISE_WORD_IN_QUERY</t>
  </si>
  <si>
    <t xml:space="preserve">Noise word inside an unquoted expression.</t>
  </si>
  <si>
    <t xml:space="preserve">The word is skipped by the index; in phrases it matches any single word in that position. Verify counts make sense.</t>
  </si>
  <si>
    <t xml:space="preserve">statement of work — 'of' acts as a placeholder</t>
  </si>
  <si>
    <t xml:space="preserve">Should the memo to requestors routinely explain the placeholder effect, or only when counts look off?</t>
  </si>
  <si>
    <t xml:space="preserve">RESERVED_WORD_UNQUOTED</t>
  </si>
  <si>
    <t xml:space="preserve">'to' or 'contains' used as an ordinary word outside quotes.</t>
  </si>
  <si>
    <t xml:space="preserve">These are dtSearch connector words; quote the phrase so they are searched literally.</t>
  </si>
  <si>
    <t xml:space="preserve">go to market  →  "go to market"</t>
  </si>
  <si>
    <t xml:space="preserve">SPECIAL_CHAR</t>
  </si>
  <si>
    <t xml:space="preserve">Character outside the default searchable alphabet (&amp;, _, :, @, etc.).</t>
  </si>
  <si>
    <t xml:space="preserve">Not matched literally by a default index (AT&amp;T indexes as 'at' + 't'). Verify alphabet file; consider phrase forms, mail(), or regex.</t>
  </si>
  <si>
    <t xml:space="preserve">AT&amp;T  →  "at t" (default index)</t>
  </si>
  <si>
    <t xml:space="preserve">Need admin to document our alphabet-file settings per workspace. Who owns getting that list?</t>
  </si>
  <si>
    <t xml:space="preserve">HYPHENATED_TERM</t>
  </si>
  <si>
    <t xml:space="preserve">Hyphenated word.</t>
  </si>
  <si>
    <t xml:space="preserve">Hyphen handling is index-configurable (commonly behaves as a space). Search all variants.</t>
  </si>
  <si>
    <t xml:space="preserve">e-mail  →  ("e-mail" OR email OR "e mail")</t>
  </si>
  <si>
    <t xml:space="preserve">Auto-propose the 3-variant OR form as our default? It broadens scope — approval needed each time?</t>
  </si>
  <si>
    <t xml:space="preserve">UNICODE_CHARS</t>
  </si>
  <si>
    <t xml:space="preserve">Smart quotes/dashes/non-breaking spaces from Word.</t>
  </si>
  <si>
    <t xml:space="preserve">Not treated as phrase delimiters or indexed as typed. Auto-replaced with ASCII equivalents.</t>
  </si>
  <si>
    <t xml:space="preserve">“phrase”  →  "phrase"</t>
  </si>
  <si>
    <t xml:space="preserve">Adopt as-is (syntax-only fix, notify not approve)?</t>
  </si>
  <si>
    <t xml:space="preserve">EARLY_WILDCARD / MULTI_WILDCARD</t>
  </si>
  <si>
    <t xml:space="preserve">* near word start, or several * in one word.</t>
  </si>
  <si>
    <t xml:space="preserve">Performance and over-inclusion risk. Narrow or enumerate variants.</t>
  </si>
  <si>
    <t xml:space="preserve">b*n*a  →  banana OR ...</t>
  </si>
  <si>
    <t xml:space="preserve">How aggressive should we be here — advise only, or push back on requestors?</t>
  </si>
  <si>
    <t xml:space="preserve">MULTI_WILDCARD_RUN</t>
  </si>
  <si>
    <t xml:space="preserve">Consecutive asterisks (**).</t>
  </si>
  <si>
    <t xml:space="preserve">Behaves like a single * but signals a typo. Auto-collapsed to one *.</t>
  </si>
  <si>
    <t xml:space="preserve">.doc**  →  .doc*</t>
  </si>
  <si>
    <t xml:space="preserve">X_WILDCARD_TRAP</t>
  </si>
  <si>
    <t xml:space="preserve">Pattern matching built-in xfirstword/xlastword tokens.</t>
  </si>
  <si>
    <t xml:space="preserve">Those tokens exist in every document — the pattern returns everything.</t>
  </si>
  <si>
    <t xml:space="preserve">x*  →  narrow the pattern</t>
  </si>
  <si>
    <t xml:space="preserve">OVERBROAD_TERM</t>
  </si>
  <si>
    <t xml:space="preserve">Very short standalone term.</t>
  </si>
  <si>
    <t xml:space="preserve">Matches enormous volume. Add context via proximity or qualifiers.</t>
  </si>
  <si>
    <t xml:space="preserve">ab  →  ab w/10 &lt;context&gt;</t>
  </si>
  <si>
    <t xml:space="preserve">Threshold currently ≤3 characters. Exempt a list of known acronyms per matter?</t>
  </si>
  <si>
    <t xml:space="preserve">REDUNDANT_OPERAND</t>
  </si>
  <si>
    <t xml:space="preserve">Same word on both sides of AND/OR.</t>
  </si>
  <si>
    <t xml:space="preserve">Equivalent to the single word; usually a paste slip. Collapsed — check whether a different term was intended.</t>
  </si>
  <si>
    <t xml:space="preserve">deal OR deal  →  deal</t>
  </si>
  <si>
    <t xml:space="preserve">Always query the requestor (a different second term was probably intended)?</t>
  </si>
  <si>
    <t xml:space="preserve">DUPLICATE_TERM</t>
  </si>
  <si>
    <t xml:space="preserve">Line duplicates an earlier term (after normalization).</t>
  </si>
  <si>
    <t xml:space="preserve">Relativity ignores duplicates on load; removed from the clean list.</t>
  </si>
  <si>
    <t xml:space="preserve">IMPLICIT_PHRASE</t>
  </si>
  <si>
    <t xml:space="preserve">Adjacent words with no operator.</t>
  </si>
  <si>
    <t xml:space="preserve">dtSearch runs them as an exact phrase, not an AND. Quoted for clarity; use AND if both-anywhere was intended.</t>
  </si>
  <si>
    <t xml:space="preserve">market analysis  →  "market analysis"</t>
  </si>
  <si>
    <t xml:space="preserve">Do requestors usually MEAN phrase or AND? Add a line to the intake template asking.</t>
  </si>
  <si>
    <t xml:space="preserve">OPERATOR_CASE</t>
  </si>
  <si>
    <t xml:space="preserve">Operators in lowercase.</t>
  </si>
  <si>
    <t xml:space="preserve">Recognized either way; capitalized by convention so operators are visually distinct from literal words.</t>
  </si>
  <si>
    <t xml:space="preserve">a and b  →  a AND b</t>
  </si>
  <si>
    <t xml:space="preserve">NOT_WN_ASYMMETRY</t>
  </si>
  <si>
    <t xml:space="preserve">Query uses NOT w/N.</t>
  </si>
  <si>
    <t xml:space="preserve">NOT w/N is not symmetrical — order matters. Confirm direction.</t>
  </si>
  <si>
    <t xml:space="preserve">a NOT w/5 b  ≠  b NOT w/5 a</t>
  </si>
  <si>
    <t xml:space="preserve">Adopt as-is (reminder only)?</t>
  </si>
  <si>
    <t xml:space="preserve">POSSIBLE_MISSPELLING</t>
  </si>
  <si>
    <t xml:space="preserve">Words not found in the dictionary (optional; needs pyspellchecker).</t>
  </si>
  <si>
    <t xml:space="preserve">No auto-change — misspellings are sometimes deliberate in eDiscovery (they catch the same typo in documents). Suggestions listed for the requestor.</t>
  </si>
  <si>
    <t xml:space="preserve">contrct  →  suggestion: contract? (no change made)</t>
  </si>
  <si>
    <t xml:space="preserve">Keep this check on by default? Who reviews the suggestions with the case team?</t>
  </si>
  <si>
    <t xml:space="preserve">NOISE_WORD_IN_PHRASE / WHITESPACE / CONTROL_CHARS / EMPTY_LINE</t>
  </si>
  <si>
    <t xml:space="preserve">Hygiene notes.</t>
  </si>
  <si>
    <t xml:space="preserve">Phrase noise words act as one-word placeholders; whitespace/control characters trimmed; blank lines skipped.</t>
  </si>
  <si>
    <t xml:space="preserve">Cross-cutting topics — not tied to a single rule</t>
  </si>
  <si>
    <t xml:space="preserve">Topic</t>
  </si>
  <si>
    <t xml:space="preserve">What we need to agree</t>
  </si>
  <si>
    <t xml:space="preserve">Due</t>
  </si>
  <si>
    <t xml:space="preserve">Notes</t>
  </si>
  <si>
    <t xml:space="preserve">Index configuration</t>
  </si>
  <si>
    <t xml:space="preserve">Get written confirmation of the noise-word list and alphabet file for each active workspace; update the script constants where customized. Several rules are only advisory until this is done.</t>
  </si>
  <si>
    <t xml:space="preserve">Thresholds</t>
  </si>
  <si>
    <t xml:space="preserve">Agree the tunable thresholds as team standards: PROX_TOO_WIDE (25 words), MANY_PROX_OPS (3 operators), OVERBROAD_TERM (3 characters), DEFAULT_PROX_DISTANCE (5).</t>
  </si>
  <si>
    <t xml:space="preserve">Comma-list house rule</t>
  </si>
  <si>
    <t xml:space="preserve">Decide the default fix for comma-separated lines: split to separate lines (per-term hit counts) vs join with OR (single count).</t>
  </si>
  <si>
    <t xml:space="preserve">Approval boundary</t>
  </si>
  <si>
    <t xml:space="preserve">Confirm the split between syntax-only fixes (notify) and meaning-changing revisions (written approval) matches how the case teams want to work.</t>
  </si>
  <si>
    <t xml:space="preserve">Assumed defaults</t>
  </si>
  <si>
    <t xml:space="preserve">The script applies labeled assumptions so terms can run: w/5 for a missing distance, w/1 for w/0, removing a mid-word #. Ratify these as house defaults or change them.</t>
  </si>
  <si>
    <t xml:space="preserve">Metadata house rule</t>
  </si>
  <si>
    <t xml:space="preserve">field:value conditions are extracted to the 'Extracted Conditions' sheet and belong in the searchable-set saved search. Agree who configures them and whether subject: phrases are re-added as content terms.</t>
  </si>
  <si>
    <t xml:space="preserve">Self-verification gate</t>
  </si>
  <si>
    <t xml:space="preserve">Agree that only CLEAN and ADVISORY terms (Revised Term Check column) may be loaded, and NEEDS REVIEW always goes back to a human.</t>
  </si>
  <si>
    <t xml:space="preserve">Script ownership</t>
  </si>
  <si>
    <t xml:space="preserve">Name an owner for str_term_validator.py: change requests, version control, and communicating rule changes to the team.</t>
  </si>
  <si>
    <t xml:space="preserve">Artifact storage</t>
  </si>
  <si>
    <t xml:space="preserve">Agree the folder standard and where the request log lives.</t>
  </si>
  <si>
    <t xml:space="preserve">Training</t>
  </si>
  <si>
    <t xml:space="preserve">Decide how new analysts learn this: walkthrough with examples/sample_terms.txt, then one supervised live matter?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</si>
</sst>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D5A8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3D5A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D5A80"/>
        <bgColor rgb="FF666666"/>
      </patternFill>
    </fill>
    <fill>
      <patternFill patternType="solid">
        <fgColor rgb="FFEFEFEF"/>
        <bgColor rgb="FFFFF9DB"/>
      </patternFill>
    </fill>
    <fill>
      <patternFill patternType="solid">
        <fgColor rgb="FFF4CCCC"/>
        <bgColor rgb="FFCCCCFF"/>
      </patternFill>
    </fill>
    <fill>
      <patternFill patternType="solid">
        <fgColor rgb="FFFFF9DB"/>
        <bgColor rgb="FFFFF2CC"/>
      </patternFill>
    </fill>
    <fill>
      <patternFill patternType="solid">
        <fgColor rgb="FFD9E7F5"/>
        <bgColor rgb="FFEFEFEF"/>
      </patternFill>
    </fill>
    <fill>
      <patternFill patternType="solid">
        <fgColor rgb="FFFFF2CC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7D0"/>
      </left>
      <right style="thin">
        <color rgb="FFC0C7D0"/>
      </right>
      <top style="thin">
        <color rgb="FFC0C7D0"/>
      </top>
      <bottom style="thin">
        <color rgb="FFC0C7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D5A80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7F5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D0"/>
      <rgbColor rgb="FF808080"/>
      <rgbColor rgb="FF9999FF"/>
      <rgbColor rgb="FF993366"/>
      <rgbColor rgb="FFFFF9DB"/>
      <rgbColor rgb="FFD9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D5A80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12"/>
  </cols>
  <sheetData>
    <row r="2" customFormat="false" ht="17.35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2" t="s">
        <v>3</v>
      </c>
    </row>
    <row r="8" customFormat="false" ht="23.85" hidden="false" customHeight="false" outlineLevel="0" collapsed="false">
      <c r="B8" s="2" t="s">
        <v>4</v>
      </c>
    </row>
    <row r="10" customFormat="false" ht="15" hidden="false" customHeight="false" outlineLevel="0" collapsed="false">
      <c r="B10" s="3" t="s">
        <v>5</v>
      </c>
    </row>
    <row r="11" customFormat="false" ht="46.25" hidden="false" customHeight="false" outlineLevel="0" collapsed="false">
      <c r="B11" s="2" t="s">
        <v>6</v>
      </c>
    </row>
    <row r="13" customFormat="false" ht="15" hidden="false" customHeight="false" outlineLevel="0" collapsed="false">
      <c r="B13" s="3" t="s">
        <v>7</v>
      </c>
    </row>
    <row r="14" customFormat="false" ht="15" hidden="false" customHeight="false" outlineLevel="0" collapsed="false">
      <c r="B14" s="4" t="s">
        <v>8</v>
      </c>
      <c r="C14" s="5" t="n">
        <f aca="false">COUNTA('Rule review'!A4:A200)</f>
        <v>43</v>
      </c>
    </row>
    <row r="15" customFormat="false" ht="15" hidden="false" customHeight="false" outlineLevel="0" collapsed="false">
      <c r="B15" s="4" t="s">
        <v>9</v>
      </c>
      <c r="C15" s="5" t="n">
        <f aca="false">COUNTIF('Rule review'!J4:J200,"Agreed")</f>
        <v>0</v>
      </c>
    </row>
    <row r="16" customFormat="false" ht="15" hidden="false" customHeight="false" outlineLevel="0" collapsed="false">
      <c r="B16" s="4" t="s">
        <v>10</v>
      </c>
      <c r="C16" s="5" t="n">
        <f aca="false">COUNTIF('Rule review'!J4:J200,"Open")</f>
        <v>43</v>
      </c>
    </row>
    <row r="17" customFormat="false" ht="15" hidden="false" customHeight="false" outlineLevel="0" collapsed="false">
      <c r="B17" s="4" t="s">
        <v>11</v>
      </c>
      <c r="C17" s="5" t="n">
        <f aca="false">COUNTIF('Rule review'!J4:J200,"Parked")</f>
        <v>0</v>
      </c>
    </row>
    <row r="19" customFormat="false" ht="46.25" hidden="false" customHeight="false" outlineLevel="0" collapsed="false">
      <c r="B19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6" t="s">
        <v>13</v>
      </c>
    </row>
    <row r="2" customFormat="false" ht="15" hidden="false" customHeight="false" outlineLevel="0" collapsed="false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</row>
    <row r="3" customFormat="false" ht="23.85" hidden="false" customHeight="false" outlineLevel="0" collapsed="false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9</v>
      </c>
    </row>
    <row r="4" customFormat="false" ht="35.05" hidden="false" customHeight="false" outlineLevel="0" collapsed="false">
      <c r="A4" s="9" t="s">
        <v>33</v>
      </c>
      <c r="B4" s="10" t="s">
        <v>25</v>
      </c>
      <c r="C4" s="9" t="s">
        <v>34</v>
      </c>
      <c r="D4" s="9" t="s">
        <v>35</v>
      </c>
      <c r="E4" s="9" t="s">
        <v>36</v>
      </c>
      <c r="F4" s="9" t="s">
        <v>37</v>
      </c>
      <c r="G4" s="11"/>
      <c r="H4" s="11"/>
      <c r="I4" s="11"/>
      <c r="J4" s="11" t="s">
        <v>10</v>
      </c>
    </row>
    <row r="5" customFormat="false" ht="35.05" hidden="false" customHeight="false" outlineLevel="0" collapsed="false">
      <c r="A5" s="9" t="s">
        <v>38</v>
      </c>
      <c r="B5" s="10" t="s">
        <v>25</v>
      </c>
      <c r="C5" s="9" t="s">
        <v>39</v>
      </c>
      <c r="D5" s="9" t="s">
        <v>40</v>
      </c>
      <c r="E5" s="9" t="s">
        <v>41</v>
      </c>
      <c r="F5" s="9" t="s">
        <v>42</v>
      </c>
      <c r="G5" s="11"/>
      <c r="H5" s="11"/>
      <c r="I5" s="11"/>
      <c r="J5" s="11" t="s">
        <v>10</v>
      </c>
    </row>
    <row r="6" customFormat="false" ht="23.85" hidden="false" customHeight="false" outlineLevel="0" collapsed="false">
      <c r="A6" s="9" t="s">
        <v>43</v>
      </c>
      <c r="B6" s="10" t="s">
        <v>25</v>
      </c>
      <c r="C6" s="9" t="s">
        <v>44</v>
      </c>
      <c r="D6" s="9" t="s">
        <v>45</v>
      </c>
      <c r="E6" s="9" t="s">
        <v>46</v>
      </c>
      <c r="F6" s="9" t="s">
        <v>47</v>
      </c>
      <c r="G6" s="11"/>
      <c r="H6" s="11"/>
      <c r="I6" s="11"/>
      <c r="J6" s="11" t="s">
        <v>10</v>
      </c>
    </row>
    <row r="7" customFormat="false" ht="15" hidden="false" customHeight="false" outlineLevel="0" collapsed="false">
      <c r="A7" s="9" t="s">
        <v>48</v>
      </c>
      <c r="B7" s="10" t="s">
        <v>25</v>
      </c>
      <c r="C7" s="9" t="s">
        <v>49</v>
      </c>
      <c r="D7" s="9" t="s">
        <v>50</v>
      </c>
      <c r="E7" s="9" t="s">
        <v>51</v>
      </c>
      <c r="F7" s="9" t="s">
        <v>52</v>
      </c>
      <c r="G7" s="11"/>
      <c r="H7" s="11"/>
      <c r="I7" s="11"/>
      <c r="J7" s="11" t="s">
        <v>10</v>
      </c>
    </row>
    <row r="8" customFormat="false" ht="46.25" hidden="false" customHeight="false" outlineLevel="0" collapsed="false">
      <c r="A8" s="9" t="s">
        <v>53</v>
      </c>
      <c r="B8" s="10" t="s">
        <v>25</v>
      </c>
      <c r="C8" s="9" t="s">
        <v>54</v>
      </c>
      <c r="D8" s="9" t="s">
        <v>55</v>
      </c>
      <c r="E8" s="9" t="s">
        <v>56</v>
      </c>
      <c r="F8" s="9" t="s">
        <v>57</v>
      </c>
      <c r="G8" s="11"/>
      <c r="H8" s="11"/>
      <c r="I8" s="11"/>
      <c r="J8" s="11" t="s">
        <v>10</v>
      </c>
    </row>
    <row r="9" customFormat="false" ht="23.85" hidden="false" customHeight="false" outlineLevel="0" collapsed="false">
      <c r="A9" s="9" t="s">
        <v>58</v>
      </c>
      <c r="B9" s="12" t="s">
        <v>59</v>
      </c>
      <c r="C9" s="9" t="s">
        <v>60</v>
      </c>
      <c r="D9" s="9" t="s">
        <v>61</v>
      </c>
      <c r="E9" s="9" t="s">
        <v>62</v>
      </c>
      <c r="F9" s="9" t="s">
        <v>63</v>
      </c>
      <c r="G9" s="11"/>
      <c r="H9" s="11"/>
      <c r="I9" s="11"/>
      <c r="J9" s="11" t="s">
        <v>10</v>
      </c>
    </row>
    <row r="10" customFormat="false" ht="35.05" hidden="false" customHeight="false" outlineLevel="0" collapsed="false">
      <c r="A10" s="9" t="s">
        <v>64</v>
      </c>
      <c r="B10" s="10" t="s">
        <v>25</v>
      </c>
      <c r="C10" s="9" t="s">
        <v>65</v>
      </c>
      <c r="D10" s="9" t="s">
        <v>66</v>
      </c>
      <c r="E10" s="9" t="s">
        <v>67</v>
      </c>
      <c r="F10" s="9" t="s">
        <v>68</v>
      </c>
      <c r="G10" s="11"/>
      <c r="H10" s="11"/>
      <c r="I10" s="11"/>
      <c r="J10" s="11" t="s">
        <v>10</v>
      </c>
    </row>
    <row r="11" customFormat="false" ht="23.85" hidden="false" customHeight="false" outlineLevel="0" collapsed="false">
      <c r="A11" s="9" t="s">
        <v>69</v>
      </c>
      <c r="B11" s="10" t="s">
        <v>25</v>
      </c>
      <c r="C11" s="9" t="s">
        <v>70</v>
      </c>
      <c r="D11" s="9" t="s">
        <v>71</v>
      </c>
      <c r="E11" s="9" t="s">
        <v>72</v>
      </c>
      <c r="F11" s="9" t="s">
        <v>63</v>
      </c>
      <c r="G11" s="11"/>
      <c r="H11" s="11"/>
      <c r="I11" s="11"/>
      <c r="J11" s="11" t="s">
        <v>10</v>
      </c>
    </row>
    <row r="12" customFormat="false" ht="46.25" hidden="false" customHeight="false" outlineLevel="0" collapsed="false">
      <c r="A12" s="9" t="s">
        <v>73</v>
      </c>
      <c r="B12" s="10" t="s">
        <v>25</v>
      </c>
      <c r="C12" s="9" t="s">
        <v>74</v>
      </c>
      <c r="D12" s="9" t="s">
        <v>75</v>
      </c>
      <c r="E12" s="9" t="s">
        <v>76</v>
      </c>
      <c r="F12" s="9" t="s">
        <v>77</v>
      </c>
      <c r="G12" s="11"/>
      <c r="H12" s="11"/>
      <c r="I12" s="11"/>
      <c r="J12" s="11" t="s">
        <v>10</v>
      </c>
    </row>
    <row r="13" customFormat="false" ht="35.05" hidden="false" customHeight="false" outlineLevel="0" collapsed="false">
      <c r="A13" s="9" t="s">
        <v>78</v>
      </c>
      <c r="B13" s="10" t="s">
        <v>25</v>
      </c>
      <c r="C13" s="9" t="s">
        <v>79</v>
      </c>
      <c r="D13" s="9" t="s">
        <v>80</v>
      </c>
      <c r="E13" s="9" t="s">
        <v>81</v>
      </c>
      <c r="F13" s="9" t="s">
        <v>63</v>
      </c>
      <c r="G13" s="11"/>
      <c r="H13" s="11"/>
      <c r="I13" s="11"/>
      <c r="J13" s="11" t="s">
        <v>10</v>
      </c>
    </row>
    <row r="14" customFormat="false" ht="23.85" hidden="false" customHeight="false" outlineLevel="0" collapsed="false">
      <c r="A14" s="9" t="s">
        <v>82</v>
      </c>
      <c r="B14" s="10" t="s">
        <v>25</v>
      </c>
      <c r="C14" s="9" t="s">
        <v>83</v>
      </c>
      <c r="D14" s="9" t="s">
        <v>84</v>
      </c>
      <c r="E14" s="9" t="s">
        <v>85</v>
      </c>
      <c r="F14" s="9" t="s">
        <v>63</v>
      </c>
      <c r="G14" s="11"/>
      <c r="H14" s="11"/>
      <c r="I14" s="11"/>
      <c r="J14" s="11" t="s">
        <v>10</v>
      </c>
    </row>
    <row r="15" customFormat="false" ht="35.05" hidden="false" customHeight="false" outlineLevel="0" collapsed="false">
      <c r="A15" s="9" t="s">
        <v>86</v>
      </c>
      <c r="B15" s="13" t="s">
        <v>87</v>
      </c>
      <c r="C15" s="9" t="s">
        <v>88</v>
      </c>
      <c r="D15" s="9" t="s">
        <v>89</v>
      </c>
      <c r="E15" s="9" t="s">
        <v>90</v>
      </c>
      <c r="F15" s="9" t="s">
        <v>91</v>
      </c>
      <c r="G15" s="11"/>
      <c r="H15" s="11"/>
      <c r="I15" s="11"/>
      <c r="J15" s="11" t="s">
        <v>10</v>
      </c>
    </row>
    <row r="16" customFormat="false" ht="35.05" hidden="false" customHeight="false" outlineLevel="0" collapsed="false">
      <c r="A16" s="9" t="s">
        <v>92</v>
      </c>
      <c r="B16" s="13" t="s">
        <v>87</v>
      </c>
      <c r="C16" s="9" t="s">
        <v>93</v>
      </c>
      <c r="D16" s="9" t="s">
        <v>94</v>
      </c>
      <c r="E16" s="9" t="s">
        <v>95</v>
      </c>
      <c r="F16" s="9" t="s">
        <v>96</v>
      </c>
      <c r="G16" s="11"/>
      <c r="H16" s="11"/>
      <c r="I16" s="11"/>
      <c r="J16" s="11" t="s">
        <v>10</v>
      </c>
    </row>
    <row r="17" customFormat="false" ht="35.05" hidden="false" customHeight="false" outlineLevel="0" collapsed="false">
      <c r="A17" s="9" t="s">
        <v>97</v>
      </c>
      <c r="B17" s="10" t="s">
        <v>25</v>
      </c>
      <c r="C17" s="9" t="s">
        <v>98</v>
      </c>
      <c r="D17" s="9" t="s">
        <v>99</v>
      </c>
      <c r="E17" s="9" t="s">
        <v>100</v>
      </c>
      <c r="F17" s="9" t="s">
        <v>101</v>
      </c>
      <c r="G17" s="11"/>
      <c r="H17" s="11"/>
      <c r="I17" s="11"/>
      <c r="J17" s="11" t="s">
        <v>10</v>
      </c>
    </row>
    <row r="18" customFormat="false" ht="35.05" hidden="false" customHeight="false" outlineLevel="0" collapsed="false">
      <c r="A18" s="9" t="s">
        <v>102</v>
      </c>
      <c r="B18" s="10" t="s">
        <v>25</v>
      </c>
      <c r="C18" s="9" t="s">
        <v>103</v>
      </c>
      <c r="D18" s="9" t="s">
        <v>104</v>
      </c>
      <c r="E18" s="9" t="s">
        <v>105</v>
      </c>
      <c r="F18" s="9" t="s">
        <v>106</v>
      </c>
      <c r="G18" s="11"/>
      <c r="H18" s="11"/>
      <c r="I18" s="11"/>
      <c r="J18" s="11" t="s">
        <v>10</v>
      </c>
    </row>
    <row r="19" customFormat="false" ht="23.85" hidden="false" customHeight="false" outlineLevel="0" collapsed="false">
      <c r="A19" s="9" t="s">
        <v>107</v>
      </c>
      <c r="B19" s="10" t="s">
        <v>25</v>
      </c>
      <c r="C19" s="9" t="s">
        <v>108</v>
      </c>
      <c r="D19" s="9" t="s">
        <v>109</v>
      </c>
      <c r="E19" s="9" t="s">
        <v>110</v>
      </c>
      <c r="F19" s="9" t="s">
        <v>63</v>
      </c>
      <c r="G19" s="11"/>
      <c r="H19" s="11"/>
      <c r="I19" s="11"/>
      <c r="J19" s="11" t="s">
        <v>10</v>
      </c>
    </row>
    <row r="20" customFormat="false" ht="35.05" hidden="false" customHeight="false" outlineLevel="0" collapsed="false">
      <c r="A20" s="9" t="s">
        <v>111</v>
      </c>
      <c r="B20" s="10" t="s">
        <v>25</v>
      </c>
      <c r="C20" s="9" t="s">
        <v>112</v>
      </c>
      <c r="D20" s="9" t="s">
        <v>113</v>
      </c>
      <c r="E20" s="9" t="s">
        <v>114</v>
      </c>
      <c r="F20" s="9" t="s">
        <v>63</v>
      </c>
      <c r="G20" s="11"/>
      <c r="H20" s="11"/>
      <c r="I20" s="11"/>
      <c r="J20" s="11" t="s">
        <v>10</v>
      </c>
    </row>
    <row r="21" customFormat="false" ht="35.05" hidden="false" customHeight="false" outlineLevel="0" collapsed="false">
      <c r="A21" s="9" t="s">
        <v>115</v>
      </c>
      <c r="B21" s="13" t="s">
        <v>87</v>
      </c>
      <c r="C21" s="9" t="s">
        <v>116</v>
      </c>
      <c r="D21" s="9" t="s">
        <v>117</v>
      </c>
      <c r="E21" s="9" t="s">
        <v>118</v>
      </c>
      <c r="F21" s="9" t="s">
        <v>119</v>
      </c>
      <c r="G21" s="11"/>
      <c r="H21" s="11"/>
      <c r="I21" s="11"/>
      <c r="J21" s="11" t="s">
        <v>10</v>
      </c>
    </row>
    <row r="22" customFormat="false" ht="35.05" hidden="false" customHeight="false" outlineLevel="0" collapsed="false">
      <c r="A22" s="9" t="s">
        <v>120</v>
      </c>
      <c r="B22" s="10" t="s">
        <v>25</v>
      </c>
      <c r="C22" s="9" t="s">
        <v>121</v>
      </c>
      <c r="D22" s="9" t="s">
        <v>122</v>
      </c>
      <c r="E22" s="9" t="s">
        <v>123</v>
      </c>
      <c r="F22" s="9" t="s">
        <v>63</v>
      </c>
      <c r="G22" s="11"/>
      <c r="H22" s="11"/>
      <c r="I22" s="11"/>
      <c r="J22" s="11" t="s">
        <v>10</v>
      </c>
    </row>
    <row r="23" customFormat="false" ht="23.85" hidden="false" customHeight="false" outlineLevel="0" collapsed="false">
      <c r="A23" s="9" t="s">
        <v>124</v>
      </c>
      <c r="B23" s="10" t="s">
        <v>25</v>
      </c>
      <c r="C23" s="9" t="s">
        <v>125</v>
      </c>
      <c r="D23" s="9" t="s">
        <v>126</v>
      </c>
      <c r="E23" s="9" t="s">
        <v>127</v>
      </c>
      <c r="F23" s="9" t="s">
        <v>128</v>
      </c>
      <c r="G23" s="11"/>
      <c r="H23" s="11"/>
      <c r="I23" s="11"/>
      <c r="J23" s="11" t="s">
        <v>10</v>
      </c>
    </row>
    <row r="24" customFormat="false" ht="35.05" hidden="false" customHeight="false" outlineLevel="0" collapsed="false">
      <c r="A24" s="9" t="s">
        <v>129</v>
      </c>
      <c r="B24" s="10" t="s">
        <v>25</v>
      </c>
      <c r="C24" s="9" t="s">
        <v>130</v>
      </c>
      <c r="D24" s="9" t="s">
        <v>131</v>
      </c>
      <c r="E24" s="9" t="s">
        <v>132</v>
      </c>
      <c r="F24" s="9" t="s">
        <v>133</v>
      </c>
      <c r="G24" s="11"/>
      <c r="H24" s="11"/>
      <c r="I24" s="11"/>
      <c r="J24" s="11" t="s">
        <v>10</v>
      </c>
    </row>
    <row r="25" customFormat="false" ht="68.65" hidden="false" customHeight="false" outlineLevel="0" collapsed="false">
      <c r="A25" s="9" t="s">
        <v>134</v>
      </c>
      <c r="B25" s="10" t="s">
        <v>25</v>
      </c>
      <c r="C25" s="9" t="s">
        <v>135</v>
      </c>
      <c r="D25" s="9" t="s">
        <v>136</v>
      </c>
      <c r="E25" s="9" t="s">
        <v>137</v>
      </c>
      <c r="F25" s="9" t="s">
        <v>138</v>
      </c>
      <c r="G25" s="11"/>
      <c r="H25" s="11"/>
      <c r="I25" s="11"/>
      <c r="J25" s="11" t="s">
        <v>10</v>
      </c>
    </row>
    <row r="26" customFormat="false" ht="23.85" hidden="false" customHeight="false" outlineLevel="0" collapsed="false">
      <c r="A26" s="9" t="s">
        <v>139</v>
      </c>
      <c r="B26" s="10" t="s">
        <v>25</v>
      </c>
      <c r="C26" s="9" t="s">
        <v>140</v>
      </c>
      <c r="D26" s="9" t="s">
        <v>141</v>
      </c>
      <c r="E26" s="9" t="s">
        <v>142</v>
      </c>
      <c r="F26" s="9" t="s">
        <v>63</v>
      </c>
      <c r="G26" s="11"/>
      <c r="H26" s="11"/>
      <c r="I26" s="11"/>
      <c r="J26" s="11" t="s">
        <v>10</v>
      </c>
    </row>
    <row r="27" customFormat="false" ht="35.05" hidden="false" customHeight="false" outlineLevel="0" collapsed="false">
      <c r="A27" s="9" t="s">
        <v>143</v>
      </c>
      <c r="B27" s="13" t="s">
        <v>87</v>
      </c>
      <c r="C27" s="9" t="s">
        <v>144</v>
      </c>
      <c r="D27" s="9" t="s">
        <v>145</v>
      </c>
      <c r="E27" s="9" t="s">
        <v>146</v>
      </c>
      <c r="F27" s="9" t="s">
        <v>147</v>
      </c>
      <c r="G27" s="11"/>
      <c r="H27" s="11"/>
      <c r="I27" s="11"/>
      <c r="J27" s="11" t="s">
        <v>10</v>
      </c>
    </row>
    <row r="28" customFormat="false" ht="35.05" hidden="false" customHeight="false" outlineLevel="0" collapsed="false">
      <c r="A28" s="9" t="s">
        <v>148</v>
      </c>
      <c r="B28" s="13" t="s">
        <v>87</v>
      </c>
      <c r="C28" s="9" t="s">
        <v>149</v>
      </c>
      <c r="D28" s="9" t="s">
        <v>150</v>
      </c>
      <c r="E28" s="9" t="s">
        <v>151</v>
      </c>
      <c r="F28" s="9" t="s">
        <v>152</v>
      </c>
      <c r="G28" s="11"/>
      <c r="H28" s="11"/>
      <c r="I28" s="11"/>
      <c r="J28" s="11" t="s">
        <v>10</v>
      </c>
    </row>
    <row r="29" customFormat="false" ht="23.85" hidden="false" customHeight="false" outlineLevel="0" collapsed="false">
      <c r="A29" s="9" t="s">
        <v>153</v>
      </c>
      <c r="B29" s="13" t="s">
        <v>87</v>
      </c>
      <c r="C29" s="9" t="s">
        <v>154</v>
      </c>
      <c r="D29" s="9" t="s">
        <v>155</v>
      </c>
      <c r="E29" s="9" t="s">
        <v>156</v>
      </c>
      <c r="F29" s="9" t="s">
        <v>157</v>
      </c>
      <c r="G29" s="11"/>
      <c r="H29" s="11"/>
      <c r="I29" s="11"/>
      <c r="J29" s="11" t="s">
        <v>10</v>
      </c>
    </row>
    <row r="30" customFormat="false" ht="23.85" hidden="false" customHeight="false" outlineLevel="0" collapsed="false">
      <c r="A30" s="9" t="s">
        <v>158</v>
      </c>
      <c r="B30" s="13" t="s">
        <v>87</v>
      </c>
      <c r="C30" s="9" t="s">
        <v>159</v>
      </c>
      <c r="D30" s="9" t="s">
        <v>160</v>
      </c>
      <c r="E30" s="9" t="s">
        <v>161</v>
      </c>
      <c r="F30" s="9" t="s">
        <v>162</v>
      </c>
      <c r="G30" s="11"/>
      <c r="H30" s="11"/>
      <c r="I30" s="11"/>
      <c r="J30" s="11" t="s">
        <v>10</v>
      </c>
    </row>
    <row r="31" customFormat="false" ht="35.05" hidden="false" customHeight="false" outlineLevel="0" collapsed="false">
      <c r="A31" s="9" t="s">
        <v>163</v>
      </c>
      <c r="B31" s="13" t="s">
        <v>87</v>
      </c>
      <c r="C31" s="9" t="s">
        <v>164</v>
      </c>
      <c r="D31" s="9" t="s">
        <v>165</v>
      </c>
      <c r="E31" s="9" t="s">
        <v>166</v>
      </c>
      <c r="F31" s="9" t="s">
        <v>167</v>
      </c>
      <c r="G31" s="11"/>
      <c r="H31" s="11"/>
      <c r="I31" s="11"/>
      <c r="J31" s="11" t="s">
        <v>10</v>
      </c>
    </row>
    <row r="32" customFormat="false" ht="23.85" hidden="false" customHeight="false" outlineLevel="0" collapsed="false">
      <c r="A32" s="9" t="s">
        <v>168</v>
      </c>
      <c r="B32" s="13" t="s">
        <v>87</v>
      </c>
      <c r="C32" s="9" t="s">
        <v>169</v>
      </c>
      <c r="D32" s="9" t="s">
        <v>170</v>
      </c>
      <c r="E32" s="9" t="s">
        <v>171</v>
      </c>
      <c r="F32" s="9" t="s">
        <v>63</v>
      </c>
      <c r="G32" s="11"/>
      <c r="H32" s="11"/>
      <c r="I32" s="11"/>
      <c r="J32" s="11" t="s">
        <v>10</v>
      </c>
    </row>
    <row r="33" customFormat="false" ht="35.05" hidden="false" customHeight="false" outlineLevel="0" collapsed="false">
      <c r="A33" s="9" t="s">
        <v>172</v>
      </c>
      <c r="B33" s="13" t="s">
        <v>87</v>
      </c>
      <c r="C33" s="9" t="s">
        <v>173</v>
      </c>
      <c r="D33" s="9" t="s">
        <v>174</v>
      </c>
      <c r="E33" s="9" t="s">
        <v>175</v>
      </c>
      <c r="F33" s="9" t="s">
        <v>176</v>
      </c>
      <c r="G33" s="11"/>
      <c r="H33" s="11"/>
      <c r="I33" s="11"/>
      <c r="J33" s="11" t="s">
        <v>10</v>
      </c>
    </row>
    <row r="34" customFormat="false" ht="35.05" hidden="false" customHeight="false" outlineLevel="0" collapsed="false">
      <c r="A34" s="9" t="s">
        <v>177</v>
      </c>
      <c r="B34" s="13" t="s">
        <v>87</v>
      </c>
      <c r="C34" s="9" t="s">
        <v>178</v>
      </c>
      <c r="D34" s="9" t="s">
        <v>179</v>
      </c>
      <c r="E34" s="9" t="s">
        <v>180</v>
      </c>
      <c r="F34" s="9" t="s">
        <v>181</v>
      </c>
      <c r="G34" s="11"/>
      <c r="H34" s="11"/>
      <c r="I34" s="11"/>
      <c r="J34" s="11" t="s">
        <v>10</v>
      </c>
    </row>
    <row r="35" customFormat="false" ht="23.85" hidden="false" customHeight="false" outlineLevel="0" collapsed="false">
      <c r="A35" s="9" t="s">
        <v>182</v>
      </c>
      <c r="B35" s="13" t="s">
        <v>87</v>
      </c>
      <c r="C35" s="9" t="s">
        <v>183</v>
      </c>
      <c r="D35" s="9" t="s">
        <v>184</v>
      </c>
      <c r="E35" s="9" t="s">
        <v>185</v>
      </c>
      <c r="F35" s="9" t="s">
        <v>186</v>
      </c>
      <c r="G35" s="11"/>
      <c r="H35" s="11"/>
      <c r="I35" s="11"/>
      <c r="J35" s="11" t="s">
        <v>10</v>
      </c>
    </row>
    <row r="36" customFormat="false" ht="23.85" hidden="false" customHeight="false" outlineLevel="0" collapsed="false">
      <c r="A36" s="9" t="s">
        <v>187</v>
      </c>
      <c r="B36" s="13" t="s">
        <v>87</v>
      </c>
      <c r="C36" s="9" t="s">
        <v>188</v>
      </c>
      <c r="D36" s="9" t="s">
        <v>189</v>
      </c>
      <c r="E36" s="9" t="s">
        <v>190</v>
      </c>
      <c r="F36" s="9" t="s">
        <v>191</v>
      </c>
      <c r="G36" s="11"/>
      <c r="H36" s="11"/>
      <c r="I36" s="11"/>
      <c r="J36" s="11" t="s">
        <v>10</v>
      </c>
    </row>
    <row r="37" customFormat="false" ht="23.85" hidden="false" customHeight="false" outlineLevel="0" collapsed="false">
      <c r="A37" s="9" t="s">
        <v>192</v>
      </c>
      <c r="B37" s="13" t="s">
        <v>87</v>
      </c>
      <c r="C37" s="9" t="s">
        <v>193</v>
      </c>
      <c r="D37" s="9" t="s">
        <v>194</v>
      </c>
      <c r="E37" s="9" t="s">
        <v>195</v>
      </c>
      <c r="F37" s="9" t="s">
        <v>63</v>
      </c>
      <c r="G37" s="11"/>
      <c r="H37" s="11"/>
      <c r="I37" s="11"/>
      <c r="J37" s="11" t="s">
        <v>10</v>
      </c>
    </row>
    <row r="38" customFormat="false" ht="23.85" hidden="false" customHeight="false" outlineLevel="0" collapsed="false">
      <c r="A38" s="9" t="s">
        <v>196</v>
      </c>
      <c r="B38" s="13" t="s">
        <v>87</v>
      </c>
      <c r="C38" s="9" t="s">
        <v>197</v>
      </c>
      <c r="D38" s="9" t="s">
        <v>198</v>
      </c>
      <c r="E38" s="9" t="s">
        <v>199</v>
      </c>
      <c r="F38" s="9" t="s">
        <v>63</v>
      </c>
      <c r="G38" s="11"/>
      <c r="H38" s="11"/>
      <c r="I38" s="11"/>
      <c r="J38" s="11" t="s">
        <v>10</v>
      </c>
    </row>
    <row r="39" customFormat="false" ht="23.85" hidden="false" customHeight="false" outlineLevel="0" collapsed="false">
      <c r="A39" s="9" t="s">
        <v>200</v>
      </c>
      <c r="B39" s="13" t="s">
        <v>87</v>
      </c>
      <c r="C39" s="9" t="s">
        <v>201</v>
      </c>
      <c r="D39" s="9" t="s">
        <v>202</v>
      </c>
      <c r="E39" s="9" t="s">
        <v>203</v>
      </c>
      <c r="F39" s="9" t="s">
        <v>204</v>
      </c>
      <c r="G39" s="11"/>
      <c r="H39" s="11"/>
      <c r="I39" s="11"/>
      <c r="J39" s="11" t="s">
        <v>10</v>
      </c>
    </row>
    <row r="40" customFormat="false" ht="35.05" hidden="false" customHeight="false" outlineLevel="0" collapsed="false">
      <c r="A40" s="9" t="s">
        <v>205</v>
      </c>
      <c r="B40" s="13" t="s">
        <v>87</v>
      </c>
      <c r="C40" s="9" t="s">
        <v>206</v>
      </c>
      <c r="D40" s="9" t="s">
        <v>207</v>
      </c>
      <c r="E40" s="9" t="s">
        <v>208</v>
      </c>
      <c r="F40" s="9" t="s">
        <v>209</v>
      </c>
      <c r="G40" s="11"/>
      <c r="H40" s="11"/>
      <c r="I40" s="11"/>
      <c r="J40" s="11" t="s">
        <v>10</v>
      </c>
    </row>
    <row r="41" customFormat="false" ht="23.85" hidden="false" customHeight="false" outlineLevel="0" collapsed="false">
      <c r="A41" s="9" t="s">
        <v>210</v>
      </c>
      <c r="B41" s="13" t="s">
        <v>87</v>
      </c>
      <c r="C41" s="9" t="s">
        <v>211</v>
      </c>
      <c r="D41" s="9" t="s">
        <v>212</v>
      </c>
      <c r="E41" s="9" t="s">
        <v>36</v>
      </c>
      <c r="F41" s="9" t="s">
        <v>63</v>
      </c>
      <c r="G41" s="11"/>
      <c r="H41" s="11"/>
      <c r="I41" s="11"/>
      <c r="J41" s="11" t="s">
        <v>10</v>
      </c>
    </row>
    <row r="42" customFormat="false" ht="35.05" hidden="false" customHeight="false" outlineLevel="0" collapsed="false">
      <c r="A42" s="9" t="s">
        <v>213</v>
      </c>
      <c r="B42" s="12" t="s">
        <v>59</v>
      </c>
      <c r="C42" s="9" t="s">
        <v>214</v>
      </c>
      <c r="D42" s="9" t="s">
        <v>215</v>
      </c>
      <c r="E42" s="9" t="s">
        <v>216</v>
      </c>
      <c r="F42" s="9" t="s">
        <v>217</v>
      </c>
      <c r="G42" s="11"/>
      <c r="H42" s="11"/>
      <c r="I42" s="11"/>
      <c r="J42" s="11" t="s">
        <v>10</v>
      </c>
    </row>
    <row r="43" customFormat="false" ht="35.05" hidden="false" customHeight="false" outlineLevel="0" collapsed="false">
      <c r="A43" s="9" t="s">
        <v>218</v>
      </c>
      <c r="B43" s="12" t="s">
        <v>59</v>
      </c>
      <c r="C43" s="9" t="s">
        <v>219</v>
      </c>
      <c r="D43" s="9" t="s">
        <v>220</v>
      </c>
      <c r="E43" s="9" t="s">
        <v>221</v>
      </c>
      <c r="F43" s="9" t="s">
        <v>63</v>
      </c>
      <c r="G43" s="11"/>
      <c r="H43" s="11"/>
      <c r="I43" s="11"/>
      <c r="J43" s="11" t="s">
        <v>10</v>
      </c>
    </row>
    <row r="44" customFormat="false" ht="23.85" hidden="false" customHeight="false" outlineLevel="0" collapsed="false">
      <c r="A44" s="9" t="s">
        <v>222</v>
      </c>
      <c r="B44" s="12" t="s">
        <v>59</v>
      </c>
      <c r="C44" s="9" t="s">
        <v>223</v>
      </c>
      <c r="D44" s="9" t="s">
        <v>224</v>
      </c>
      <c r="E44" s="9" t="s">
        <v>225</v>
      </c>
      <c r="F44" s="9" t="s">
        <v>226</v>
      </c>
      <c r="G44" s="11"/>
      <c r="H44" s="11"/>
      <c r="I44" s="11"/>
      <c r="J44" s="11" t="s">
        <v>10</v>
      </c>
    </row>
    <row r="45" customFormat="false" ht="46.25" hidden="false" customHeight="false" outlineLevel="0" collapsed="false">
      <c r="A45" s="9" t="s">
        <v>227</v>
      </c>
      <c r="B45" s="12" t="s">
        <v>59</v>
      </c>
      <c r="C45" s="9" t="s">
        <v>228</v>
      </c>
      <c r="D45" s="9" t="s">
        <v>229</v>
      </c>
      <c r="E45" s="9" t="s">
        <v>230</v>
      </c>
      <c r="F45" s="9" t="s">
        <v>231</v>
      </c>
      <c r="G45" s="11"/>
      <c r="H45" s="11"/>
      <c r="I45" s="11"/>
      <c r="J45" s="11" t="s">
        <v>10</v>
      </c>
    </row>
    <row r="46" customFormat="false" ht="46.25" hidden="false" customHeight="false" outlineLevel="0" collapsed="false">
      <c r="A46" s="9" t="s">
        <v>232</v>
      </c>
      <c r="B46" s="12" t="s">
        <v>59</v>
      </c>
      <c r="C46" s="9" t="s">
        <v>233</v>
      </c>
      <c r="D46" s="9" t="s">
        <v>234</v>
      </c>
      <c r="E46" s="9" t="s">
        <v>36</v>
      </c>
      <c r="F46" s="9" t="s">
        <v>63</v>
      </c>
      <c r="G46" s="11"/>
      <c r="H46" s="11"/>
      <c r="I46" s="11"/>
      <c r="J46" s="11" t="s">
        <v>10</v>
      </c>
    </row>
  </sheetData>
  <autoFilter ref="A2:J46"/>
  <dataValidations count="2">
    <dataValidation allowBlank="true" errorStyle="stop" operator="between" showDropDown="false" showErrorMessage="false" showInputMessage="false" sqref="G4:G46" type="list">
      <formula1>"Adopt as-is,Adopt with changes,Needs follow-up,Reject"</formula1>
      <formula2>0</formula2>
    </dataValidation>
    <dataValidation allowBlank="true" errorStyle="stop" operator="between" showDropDown="false" showErrorMessage="false" showInputMessage="false" sqref="J4:J46" type="list">
      <formula1>"Open,Agreed,Parked"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6" t="s">
        <v>235</v>
      </c>
    </row>
    <row r="2" customFormat="false" ht="15" hidden="false" customHeight="false" outlineLevel="0" collapsed="false">
      <c r="A2" s="14" t="s">
        <v>236</v>
      </c>
      <c r="B2" s="14" t="s">
        <v>237</v>
      </c>
      <c r="C2" s="14" t="s">
        <v>21</v>
      </c>
      <c r="D2" s="14" t="s">
        <v>238</v>
      </c>
      <c r="E2" s="14" t="s">
        <v>23</v>
      </c>
      <c r="F2" s="14" t="s">
        <v>239</v>
      </c>
    </row>
    <row r="3" customFormat="false" ht="35.05" hidden="false" customHeight="false" outlineLevel="0" collapsed="false">
      <c r="A3" s="9" t="s">
        <v>240</v>
      </c>
      <c r="B3" s="9" t="s">
        <v>241</v>
      </c>
      <c r="C3" s="11"/>
      <c r="D3" s="11"/>
      <c r="E3" s="11" t="s">
        <v>10</v>
      </c>
      <c r="F3" s="11"/>
    </row>
    <row r="4" customFormat="false" ht="35.05" hidden="false" customHeight="false" outlineLevel="0" collapsed="false">
      <c r="A4" s="9" t="s">
        <v>242</v>
      </c>
      <c r="B4" s="9" t="s">
        <v>243</v>
      </c>
      <c r="C4" s="11"/>
      <c r="D4" s="11"/>
      <c r="E4" s="11" t="s">
        <v>10</v>
      </c>
      <c r="F4" s="11"/>
    </row>
    <row r="5" customFormat="false" ht="23.85" hidden="false" customHeight="false" outlineLevel="0" collapsed="false">
      <c r="A5" s="9" t="s">
        <v>244</v>
      </c>
      <c r="B5" s="9" t="s">
        <v>245</v>
      </c>
      <c r="C5" s="11"/>
      <c r="D5" s="11"/>
      <c r="E5" s="11" t="s">
        <v>10</v>
      </c>
      <c r="F5" s="11"/>
    </row>
    <row r="6" customFormat="false" ht="23.85" hidden="false" customHeight="false" outlineLevel="0" collapsed="false">
      <c r="A6" s="9" t="s">
        <v>246</v>
      </c>
      <c r="B6" s="9" t="s">
        <v>247</v>
      </c>
      <c r="C6" s="11"/>
      <c r="D6" s="11"/>
      <c r="E6" s="11" t="s">
        <v>10</v>
      </c>
      <c r="F6" s="11"/>
    </row>
    <row r="7" customFormat="false" ht="35.05" hidden="false" customHeight="false" outlineLevel="0" collapsed="false">
      <c r="A7" s="9" t="s">
        <v>248</v>
      </c>
      <c r="B7" s="9" t="s">
        <v>249</v>
      </c>
      <c r="C7" s="11"/>
      <c r="D7" s="11"/>
      <c r="E7" s="11" t="s">
        <v>10</v>
      </c>
      <c r="F7" s="11"/>
    </row>
    <row r="8" customFormat="false" ht="35.05" hidden="false" customHeight="false" outlineLevel="0" collapsed="false">
      <c r="A8" s="9" t="s">
        <v>250</v>
      </c>
      <c r="B8" s="9" t="s">
        <v>251</v>
      </c>
      <c r="C8" s="11"/>
      <c r="D8" s="11"/>
      <c r="E8" s="11" t="s">
        <v>10</v>
      </c>
      <c r="F8" s="11"/>
    </row>
    <row r="9" customFormat="false" ht="35.05" hidden="false" customHeight="false" outlineLevel="0" collapsed="false">
      <c r="A9" s="9" t="s">
        <v>252</v>
      </c>
      <c r="B9" s="9" t="s">
        <v>253</v>
      </c>
      <c r="C9" s="11"/>
      <c r="D9" s="11"/>
      <c r="E9" s="11" t="s">
        <v>10</v>
      </c>
      <c r="F9" s="11"/>
    </row>
    <row r="10" customFormat="false" ht="23.85" hidden="false" customHeight="false" outlineLevel="0" collapsed="false">
      <c r="A10" s="9" t="s">
        <v>254</v>
      </c>
      <c r="B10" s="9" t="s">
        <v>255</v>
      </c>
      <c r="C10" s="11"/>
      <c r="D10" s="11"/>
      <c r="E10" s="11" t="s">
        <v>10</v>
      </c>
      <c r="F10" s="11"/>
    </row>
    <row r="11" customFormat="false" ht="15" hidden="false" customHeight="false" outlineLevel="0" collapsed="false">
      <c r="A11" s="9" t="s">
        <v>256</v>
      </c>
      <c r="B11" s="9" t="s">
        <v>257</v>
      </c>
      <c r="C11" s="11"/>
      <c r="D11" s="11"/>
      <c r="E11" s="11" t="s">
        <v>10</v>
      </c>
      <c r="F11" s="11"/>
    </row>
    <row r="12" customFormat="false" ht="23.85" hidden="false" customHeight="false" outlineLevel="0" collapsed="false">
      <c r="A12" s="9" t="s">
        <v>258</v>
      </c>
      <c r="B12" s="9" t="s">
        <v>259</v>
      </c>
      <c r="C12" s="11"/>
      <c r="D12" s="11"/>
      <c r="E12" s="11" t="s">
        <v>10</v>
      </c>
      <c r="F12" s="11"/>
    </row>
  </sheetData>
  <dataValidations count="1">
    <dataValidation allowBlank="true" errorStyle="stop" operator="between" showDropDown="false" showErrorMessage="false" showInputMessage="false" sqref="E3:E12" type="list">
      <formula1>"Open,Agreed,Parked"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2026-10-03T19:12:13Z</dcterms:created>
  <dc:creator>openpyxl</dc:creator>
  <dc:description/>
  <dc:language>en-US</dc:language>
  <cp:lastModifiedBy/>
  <dcterms:modified xsi:type="dcterms:W3CDTF">2026-10-03T19:12:13Z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